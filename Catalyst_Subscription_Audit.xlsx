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bscription Audit" sheetId="1" state="visible" r:id="rId3"/>
    <sheet name="Action Item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<sst xmlns="http://schemas.openxmlformats.org/spreadsheetml/2006/main" count="446" uniqueCount="235">
  <si>
    <t xml:space="preserve">Catalyst Medical Education — Subscription Audit  |  Verified: February 22, 2026</t>
  </si>
  <si>
    <t xml:space="preserve">Sources: Claude in Chrome audit (Feb 22 2026) + QuickBooks transaction history  |  ⚠️ = action needed</t>
  </si>
  <si>
    <t xml:space="preserve">#</t>
  </si>
  <si>
    <t xml:space="preserve">Service</t>
  </si>
  <si>
    <t xml:space="preserve">Category</t>
  </si>
  <si>
    <t xml:space="preserve">Status</t>
  </si>
  <si>
    <t xml:space="preserve">Plan / Tier</t>
  </si>
  <si>
    <t xml:space="preserve">Monthly Cost</t>
  </si>
  <si>
    <t xml:space="preserve">Annual Cost</t>
  </si>
  <si>
    <t xml:space="preserve">Next Renewal</t>
  </si>
  <si>
    <t xml:space="preserve">Seats / Licenses</t>
  </si>
  <si>
    <t xml:space="preserve">Verified By</t>
  </si>
  <si>
    <t xml:space="preserve">Notes / Action</t>
  </si>
  <si>
    <t xml:space="preserve">Allocate To</t>
  </si>
  <si>
    <t xml:space="preserve">Flywheel</t>
  </si>
  <si>
    <t xml:space="preserve">Hosting</t>
  </si>
  <si>
    <t xml:space="preserve">✅ Active</t>
  </si>
  <si>
    <t xml:space="preserve">Agency (FL1 — 37 sites)</t>
  </si>
  <si>
    <t xml:space="preserve">Aug 14, 2026</t>
  </si>
  <si>
    <t xml:space="preserve">37 sites</t>
  </si>
  <si>
    <t xml:space="preserve">Chrome Claude</t>
  </si>
  <si>
    <t xml:space="preserve">37 active sites; migration alert pending; 34 notifications to review</t>
  </si>
  <si>
    <t xml:space="preserve">Catalyst</t>
  </si>
  <si>
    <t xml:space="preserve">Vimeo Pro</t>
  </si>
  <si>
    <t xml:space="preserve">Video</t>
  </si>
  <si>
    <t xml:space="preserve">PRO Unlimited</t>
  </si>
  <si>
    <t xml:space="preserve">Sep 5, 2026</t>
  </si>
  <si>
    <t xml:space="preserve">1 account</t>
  </si>
  <si>
    <t xml:space="preserve">396 GB / 3 TB used; 250 AI credits remaining; virtually unused for TechCElerate</t>
  </si>
  <si>
    <t xml:space="preserve">MonsterInsights</t>
  </si>
  <si>
    <t xml:space="preserve">Analytics</t>
  </si>
  <si>
    <t xml:space="preserve">Agency</t>
  </si>
  <si>
    <t xml:space="preserve">Jul 21, 2026</t>
  </si>
  <si>
    <t xml:space="preserve">Agency (multi-site)</t>
  </si>
  <si>
    <t xml:space="preserve">No usage data on overview; evaluate if needed at launch</t>
  </si>
  <si>
    <t xml:space="preserve">Shared</t>
  </si>
  <si>
    <t xml:space="preserve">MailChimp</t>
  </si>
  <si>
    <t xml:space="preserve">Email</t>
  </si>
  <si>
    <t xml:space="preserve">🚨 CANCEL</t>
  </si>
  <si>
    <t xml:space="preserve">Unknown</t>
  </si>
  <si>
    <t xml:space="preserve">Chrome Claude (2FA)</t>
  </si>
  <si>
    <t xml:space="preserve">⚠️ 2FA blocked full verification. CANCEL after FluentCRM live — saving $4,440/yr</t>
  </si>
  <si>
    <t xml:space="preserve">Catalyst → Cancel</t>
  </si>
  <si>
    <t xml:space="preserve">WP Rocket</t>
  </si>
  <si>
    <t xml:space="preserve">Caching</t>
  </si>
  <si>
    <t xml:space="preserve">Plus</t>
  </si>
  <si>
    <t xml:space="preserve">Nov 30, 2026</t>
  </si>
  <si>
    <t xml:space="preserve">3 websites</t>
  </si>
  <si>
    <t xml:space="preserve">1 of 3 sites active (las.flywheelsites.com). TechCElerate needs separate license slot</t>
  </si>
  <si>
    <t xml:space="preserve">Uncanny Owl All Access</t>
  </si>
  <si>
    <t xml:space="preserve">LMS Plugin</t>
  </si>
  <si>
    <t xml:space="preserve">All Access Pass — Annual</t>
  </si>
  <si>
    <t xml:space="preserve">0/10 activations (unused slots)</t>
  </si>
  <si>
    <t xml:space="preserve">Chrome Claude + Lou</t>
  </si>
  <si>
    <t xml:space="preserve">✅ Subscription CONFIRMED active (Order #203898, 6 renewals). '0 activations' = unused license slots, not an error. Activate on TechCElerate WP site during build.</t>
  </si>
  <si>
    <t xml:space="preserve">TechCElerate</t>
  </si>
  <si>
    <t xml:space="preserve">FluentCRM Pro</t>
  </si>
  <si>
    <t xml:space="preserve">CRM</t>
  </si>
  <si>
    <t xml:space="preserve">✅ Lifetime</t>
  </si>
  <si>
    <t xml:space="preserve">50 Sites Lifetime</t>
  </si>
  <si>
    <t xml:space="preserve">-</t>
  </si>
  <si>
    <t xml:space="preserve">Never</t>
  </si>
  <si>
    <t xml:space="preserve">50 sites</t>
  </si>
  <si>
    <t xml:space="preserve">Order #WPMN-19258; MailChimp replacement — activate immediately</t>
  </si>
  <si>
    <t xml:space="preserve">Fluent Forms Pro</t>
  </si>
  <si>
    <t xml:space="preserve">Forms</t>
  </si>
  <si>
    <t xml:space="preserve">Unlimited Lifetime</t>
  </si>
  <si>
    <t xml:space="preserve">Unlimited</t>
  </si>
  <si>
    <t xml:space="preserve">Order #WPMN-32400; active</t>
  </si>
  <si>
    <t xml:space="preserve">Uncanny Automator</t>
  </si>
  <si>
    <t xml:space="preserve">Automation</t>
  </si>
  <si>
    <t xml:space="preserve">Never (lifetime)</t>
  </si>
  <si>
    <t xml:space="preserve">0 / 500 activations</t>
  </si>
  <si>
    <t xml:space="preserve">✅ Lifetime purchase confirmed. '0/500 activations' = unused slots. Activate during TechCElerate build. No action needed.</t>
  </si>
  <si>
    <t xml:space="preserve">AffiliateWP Ultimate</t>
  </si>
  <si>
    <t xml:space="preserve">Affiliate</t>
  </si>
  <si>
    <t xml:space="preserve">Ultimate Lifetime</t>
  </si>
  <si>
    <t xml:space="preserve">Not shown</t>
  </si>
  <si>
    <t xml:space="preserve">Licensed to subscription@catalystmeded.com</t>
  </si>
  <si>
    <t xml:space="preserve">Kadence WP</t>
  </si>
  <si>
    <t xml:space="preserve">Theme/Builder</t>
  </si>
  <si>
    <t xml:space="preserve">Full Bundle Lifetime</t>
  </si>
  <si>
    <t xml:space="preserve">1 active site</t>
  </si>
  <si>
    <t xml:space="preserve">1 active: las.flywheelsites.com; 16k AI credits; full suite active</t>
  </si>
  <si>
    <t xml:space="preserve">WP Social Ninja Pro</t>
  </si>
  <si>
    <t xml:space="preserve">Social</t>
  </si>
  <si>
    <t xml:space="preserve">Agency Lifetime</t>
  </si>
  <si>
    <t xml:space="preserve">Order #WPMN-38755</t>
  </si>
  <si>
    <t xml:space="preserve">Wave.video</t>
  </si>
  <si>
    <t xml:space="preserve">✅ Active (Lifetime)</t>
  </si>
  <si>
    <t xml:space="preserve">Business (AppSumo LTD)</t>
  </si>
  <si>
    <t xml:space="preserve">Virtually unused: 0/500 GB storage, 0/200 embeds, 0/600 min captions</t>
  </si>
  <si>
    <t xml:space="preserve">LearnDash</t>
  </si>
  <si>
    <t xml:space="preserve">LMS</t>
  </si>
  <si>
    <t xml:space="preserve">✅ Active (×2)</t>
  </si>
  <si>
    <t xml:space="preserve">2x Annual: #541384 (Jul) + #507584 Legacy (Nov)</t>
  </si>
  <si>
    <t xml:space="preserve">Jul 17, 2026 / Nov 30, 2026</t>
  </si>
  <si>
    <t xml:space="preserve">2x licenses active</t>
  </si>
  <si>
    <t xml:space="preserve">Lou (login)</t>
  </si>
  <si>
    <t xml:space="preserve">⚠️ TWO overlapping subscriptions. #507584 = 'LearnDash Legacy' (old product name). Cancel Legacy at Nov 2026 renewal, keep #541384. Saves $189/yr.</t>
  </si>
  <si>
    <t xml:space="preserve">Iubenda</t>
  </si>
  <si>
    <t xml:space="preserve">Legal/Privacy</t>
  </si>
  <si>
    <t xml:space="preserve">❓ Needs Login</t>
  </si>
  <si>
    <t xml:space="preserve">Multi-site Annual</t>
  </si>
  <si>
    <t xml:space="preserve">Verify</t>
  </si>
  <si>
    <t xml:space="preserve">~Nov 2026</t>
  </si>
  <si>
    <t xml:space="preserve">Multiple sites</t>
  </si>
  <si>
    <t xml:space="preserve">TX History</t>
  </si>
  <si>
    <t xml:space="preserve">Multiple sites — confirm exact count and cost. $129-159/site/yr.</t>
  </si>
  <si>
    <t xml:space="preserve">QuickBooks</t>
  </si>
  <si>
    <t xml:space="preserve">Accounting</t>
  </si>
  <si>
    <t xml:space="preserve">Unknown tier</t>
  </si>
  <si>
    <t xml:space="preserve">Ongoing</t>
  </si>
  <si>
    <t xml:space="preserve">Ongoing through Feb 2026</t>
  </si>
  <si>
    <t xml:space="preserve">Adobe Creative Cloud</t>
  </si>
  <si>
    <t xml:space="preserve">Design</t>
  </si>
  <si>
    <t xml:space="preserve">Zoom</t>
  </si>
  <si>
    <t xml:space="preserve">Video Conf</t>
  </si>
  <si>
    <t xml:space="preserve">Annual plan</t>
  </si>
  <si>
    <t xml:space="preserve">~Feb 2027</t>
  </si>
  <si>
    <t xml:space="preserve">Annual renewal Feb. Last: Feb 2026</t>
  </si>
  <si>
    <t xml:space="preserve">Google Workspace</t>
  </si>
  <si>
    <t xml:space="preserve">Productivity</t>
  </si>
  <si>
    <t xml:space="preserve">Ongoing through Jan 2026</t>
  </si>
  <si>
    <t xml:space="preserve">Microsoft 365</t>
  </si>
  <si>
    <t xml:space="preserve">Variable charges ongoing</t>
  </si>
  <si>
    <t xml:space="preserve">Asana</t>
  </si>
  <si>
    <t xml:space="preserve">Project Mgmt</t>
  </si>
  <si>
    <t xml:space="preserve">⚠️ Monday.com has replaced Asana as Catalyst's project management tool. Cancel Asana — $324/yr saved.</t>
  </si>
  <si>
    <t xml:space="preserve">Monday.com</t>
  </si>
  <si>
    <t xml:space="preserve">Confirmed: Replaced Asana as Catalyst's PM system. Verify seat count and right-size plan if possible.</t>
  </si>
  <si>
    <t xml:space="preserve">OpenAI ChatGPT</t>
  </si>
  <si>
    <t xml:space="preserve">AI</t>
  </si>
  <si>
    <t xml:space="preserve">⚠️ $599/mo — verify plan (Team vs API). Claude API may replace for TechCElerate content.</t>
  </si>
  <si>
    <t xml:space="preserve">Perplexity AI</t>
  </si>
  <si>
    <t xml:space="preserve">Pro</t>
  </si>
  <si>
    <t xml:space="preserve">Started Jan 2026. Evaluate vs ChatGPT — may be redundant.</t>
  </si>
  <si>
    <t xml:space="preserve">1Password</t>
  </si>
  <si>
    <t xml:space="preserve">Security</t>
  </si>
  <si>
    <t xml:space="preserve">Annual</t>
  </si>
  <si>
    <t xml:space="preserve">~Jan 2027</t>
  </si>
  <si>
    <t xml:space="preserve">Last charge Jan 2026</t>
  </si>
  <si>
    <t xml:space="preserve">Dropbox</t>
  </si>
  <si>
    <t xml:space="preserve">Cloud Storage</t>
  </si>
  <si>
    <t xml:space="preserve">~Jun 2026</t>
  </si>
  <si>
    <t xml:space="preserve">⚠️ Redundant with Google Workspace Drive? Evaluate consolidation.</t>
  </si>
  <si>
    <t xml:space="preserve">McAfee</t>
  </si>
  <si>
    <t xml:space="preserve">~May 2026</t>
  </si>
  <si>
    <t xml:space="preserve">Last charge May 2025</t>
  </si>
  <si>
    <t xml:space="preserve">Jasper.AI</t>
  </si>
  <si>
    <t xml:space="preserve">AI Content</t>
  </si>
  <si>
    <t xml:space="preserve">Teams (3 seats) — Monthly w/ migration discount</t>
  </si>
  <si>
    <t xml:space="preserve">Feb 28, 2026 ← NEXT CHARGE</t>
  </si>
  <si>
    <t xml:space="preserve">3 seats</t>
  </si>
  <si>
    <t xml:space="preserve">🚨 NOT a lifetime deal — monthly Teams subscription at $99/mo. Never used once. No transfer value. CANCEL BEFORE FEB 28 to avoid next charge. Claude API replaces entirely.</t>
  </si>
  <si>
    <t xml:space="preserve">CANCEL</t>
  </si>
  <si>
    <t xml:space="preserve">Happy Scribe</t>
  </si>
  <si>
    <t xml:space="preserve">Transcription</t>
  </si>
  <si>
    <t xml:space="preserve">LTD + overages</t>
  </si>
  <si>
    <t xml:space="preserve">Lifetime</t>
  </si>
  <si>
    <t xml:space="preserve">Credit-based</t>
  </si>
  <si>
    <t xml:space="preserve">Lou</t>
  </si>
  <si>
    <t xml:space="preserve">Lifetime credits/mo + overage. Catalyst uses frequently. TechCElerate can leverage.</t>
  </si>
  <si>
    <t xml:space="preserve">Canva</t>
  </si>
  <si>
    <t xml:space="preserve">Business</t>
  </si>
  <si>
    <t xml:space="preserve">New for Catalyst. TechCElerate can use for marketing/social assets.</t>
  </si>
  <si>
    <t xml:space="preserve">Skool.com</t>
  </si>
  <si>
    <t xml:space="preserve">Community</t>
  </si>
  <si>
    <t xml:space="preserve">Monthly</t>
  </si>
  <si>
    <t xml:space="preserve">Recommend: CANCEL. Use LearnDash for non-credit courses instead. $120/yr with no clear use case.</t>
  </si>
  <si>
    <t xml:space="preserve">Name.com</t>
  </si>
  <si>
    <t xml:space="preserve">Domains</t>
  </si>
  <si>
    <t xml:space="preserve">Per-domain</t>
  </si>
  <si>
    <t xml:space="preserve">Per domain</t>
  </si>
  <si>
    <t xml:space="preserve">Multiple domains</t>
  </si>
  <si>
    <t xml:space="preserve">techcelerate-ce.com + Catalyst domains. Ongoing renewals as needed.</t>
  </si>
  <si>
    <t xml:space="preserve">Uncanny CE Credits</t>
  </si>
  <si>
    <t xml:space="preserve">Part of Uncanny All Access</t>
  </si>
  <si>
    <t xml:space="preserve">Included in All Access</t>
  </si>
  <si>
    <t xml:space="preserve">Part of Uncanny Owl All Access. Verify activation once All Access license is fixed.</t>
  </si>
  <si>
    <t xml:space="preserve">ESTIMATED MONTHLY BURN (confirmed actives only)</t>
  </si>
  <si>
    <t xml:space="preserve">💡 Cancel MailChimp → Annual savings</t>
  </si>
  <si>
    <t xml:space="preserve">TechCElerate / Catalyst — Subscription Action Items</t>
  </si>
  <si>
    <t xml:space="preserve">Pri</t>
  </si>
  <si>
    <t xml:space="preserve">Action</t>
  </si>
  <si>
    <t xml:space="preserve">Detail</t>
  </si>
  <si>
    <t xml:space="preserve">Est. Savings/yr</t>
  </si>
  <si>
    <t xml:space="preserve">Owner</t>
  </si>
  <si>
    <t xml:space="preserve">🚨</t>
  </si>
  <si>
    <t xml:space="preserve">Cancel subscription. FluentCRM (lifetime) + Amazon SES replaces entirely. Do not cancel until FluentCRM is configured and tested.</t>
  </si>
  <si>
    <t xml:space="preserve">$4,440</t>
  </si>
  <si>
    <t xml:space="preserve">💡</t>
  </si>
  <si>
    <t xml:space="preserve">ACTIVATE ON BUILD</t>
  </si>
  <si>
    <t xml:space="preserve">Subscription/license confirmed active. '0 activations' = unused slots, not an error. Activate during WordPress build phase — no support ticket needed.</t>
  </si>
  <si>
    <t xml:space="preserve">—</t>
  </si>
  <si>
    <t xml:space="preserve">⚠️</t>
  </si>
  <si>
    <t xml:space="preserve">CANCEL DUPLICATE</t>
  </si>
  <si>
    <t xml:space="preserve">Two active subscriptions: #541384 (LearnDash, Jul 2026) + #507584 (LearnDash Legacy, Nov 2026). Cancel Legacy (#507584) at November 2026 renewal. Keep #541384.</t>
  </si>
  <si>
    <t xml:space="preserve">$189/yr</t>
  </si>
  <si>
    <t xml:space="preserve">REVIEW USAGE</t>
  </si>
  <si>
    <t xml:space="preserve">$1,892/month is significant. How many seats? Who is actively using it? Is it duplicating Asana ($27/mo already paid)? Downgrade or cancel could save $20,000+/yr.</t>
  </si>
  <si>
    <t xml:space="preserve">Up to $22,704</t>
  </si>
  <si>
    <t xml:space="preserve">VERIFY PLAN</t>
  </si>
  <si>
    <t xml:space="preserve">$599/mo — is this Team (multiple seats) or API usage? If API, Claude API may replace for TechCElerate content pipeline. Verify and right-size.</t>
  </si>
  <si>
    <t xml:space="preserve">Up to $7,188</t>
  </si>
  <si>
    <t xml:space="preserve">EVALUATE</t>
  </si>
  <si>
    <t xml:space="preserve">$1,080/yr. Google Workspace (already $126/mo) includes Drive. Are both actively needed? If not, cancel Dropbox.</t>
  </si>
  <si>
    <t xml:space="preserve">Up to $1,080</t>
  </si>
  <si>
    <t xml:space="preserve">$40/mo. Redundant with ChatGPT subscription? Evaluate if both are needed.</t>
  </si>
  <si>
    <t xml:space="preserve">Up to $480</t>
  </si>
  <si>
    <t xml:space="preserve">CANCEL NOW</t>
  </si>
  <si>
    <t xml:space="preserve">NOT a lifetime deal. Teams plan (3 seats) at $99/mo. Never used. No transfer value. Cancel at jasper.ai before Feb 28, 2026 to avoid next $99 charge. Claude API replaces for all TechCElerate content needs.</t>
  </si>
  <si>
    <t xml:space="preserve">$1,188</t>
  </si>
  <si>
    <t xml:space="preserve">$9.99/mo with no clear use case. Non-credit education is better served by a free LearnDash course on your existing stack.</t>
  </si>
  <si>
    <t xml:space="preserve">$120</t>
  </si>
  <si>
    <t xml:space="preserve">VERIFY LOGIN</t>
  </si>
  <si>
    <t xml:space="preserve">Multiple sites at $129-159/site/yr. Confirm exact count. Cancel any inactive site licenses.</t>
  </si>
  <si>
    <t xml:space="preserve">Varies</t>
  </si>
  <si>
    <t xml:space="preserve">ACTIVATE</t>
  </si>
  <si>
    <t xml:space="preserve">Lifetime license owned. Configure to replace MailChimp. Connect to Amazon SES for email delivery. $0 cost after setup.</t>
  </si>
  <si>
    <t xml:space="preserve">$4,440 (from MailChimp cancel)</t>
  </si>
  <si>
    <t xml:space="preserve">Dev</t>
  </si>
  <si>
    <t xml:space="preserve">Part of Uncanny All Access. Once All Access license is fixed, configure ASRT-compliant certificate template (11 required elements).</t>
  </si>
  <si>
    <t xml:space="preserve">Amazon SES</t>
  </si>
  <si>
    <t xml:space="preserve">SETUP</t>
  </si>
  <si>
    <t xml:space="preserve">$0.10/1,000 emails. Pair with FluentCRM via FluentSMTP plugin. ~$1-5/mo vs $370/mo MailChimp.</t>
  </si>
  <si>
    <t xml:space="preserve">$4,400+</t>
  </si>
  <si>
    <t xml:space="preserve">EVALUATE USE</t>
  </si>
  <si>
    <t xml:space="preserve">AppSumo lifetime, virtually unused: 0/500 GB storage, 0/200 embeds, 0/600 min captions. Could replace Vimeo Pro ($399/yr) for TechCElerate video content.</t>
  </si>
  <si>
    <t xml:space="preserve">$399</t>
  </si>
  <si>
    <t xml:space="preserve">MailChimp 2FA</t>
  </si>
  <si>
    <t xml:space="preserve">VERIFY STATUS</t>
  </si>
  <si>
    <t xml:space="preserve">Claude in Chrome was blocked by 2FA. Log in manually to confirm plan details and schedule cancellation date after FluentCRM is live.</t>
  </si>
  <si>
    <t xml:space="preserve">Monday.com has replaced Asana as Catalyst's project management system. Cancel Asana subscription — confirmed redundant.</t>
  </si>
  <si>
    <t xml:space="preserve">$324/yr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</si>
</sst>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\$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21531"/>
        <bgColor rgb="FF000000"/>
      </patternFill>
    </fill>
    <fill>
      <patternFill patternType="solid">
        <fgColor rgb="FFE8E8E8"/>
        <bgColor rgb="FFE8F4FF"/>
      </patternFill>
    </fill>
    <fill>
      <patternFill patternType="solid">
        <fgColor rgb="FF42A4D9"/>
        <bgColor rgb="FF339966"/>
      </patternFill>
    </fill>
    <fill>
      <patternFill patternType="solid">
        <fgColor rgb="FFF5F5F5"/>
        <bgColor rgb="FFE8F4FF"/>
      </patternFill>
    </fill>
    <fill>
      <patternFill patternType="solid">
        <fgColor rgb="FFD6F4D6"/>
        <bgColor rgb="FFE8E8E8"/>
      </patternFill>
    </fill>
    <fill>
      <patternFill patternType="solid">
        <fgColor rgb="FFFFFFFF"/>
        <bgColor rgb="FFF5F5F5"/>
      </patternFill>
    </fill>
    <fill>
      <patternFill patternType="solid">
        <fgColor rgb="FFE8F4FF"/>
        <bgColor rgb="FFF5F5F5"/>
      </patternFill>
    </fill>
    <fill>
      <patternFill patternType="solid">
        <fgColor rgb="FFFFD6D6"/>
        <bgColor rgb="FFFFE5CC"/>
      </patternFill>
    </fill>
    <fill>
      <patternFill patternType="solid">
        <fgColor rgb="FFFFE5CC"/>
        <bgColor rgb="FFFFD6D6"/>
      </patternFill>
    </fill>
    <fill>
      <patternFill patternType="solid">
        <fgColor rgb="FFFFF9C4"/>
        <bgColor rgb="FFFFE5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9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E8F4FF"/>
      <rgbColor rgb="FF660066"/>
      <rgbColor rgb="FFFF8080"/>
      <rgbColor rgb="FF0066CC"/>
      <rgbColor rgb="FFE8E8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D6F4D6"/>
      <rgbColor rgb="FFFFE5CC"/>
      <rgbColor rgb="FF99CCFF"/>
      <rgbColor rgb="FFFF99CC"/>
      <rgbColor rgb="FFCC99FF"/>
      <rgbColor rgb="FFFFD6D6"/>
      <rgbColor rgb="FF3366FF"/>
      <rgbColor rgb="FF42A4D9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2153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22"/>
    <col collapsed="false" customWidth="true" hidden="false" outlineLevel="0" max="7" min="6" style="1" width="13"/>
    <col collapsed="false" customWidth="true" hidden="false" outlineLevel="0" max="8" min="8" style="1" width="15"/>
    <col collapsed="false" customWidth="true" hidden="false" outlineLevel="0" max="9" min="9" style="1" width="18"/>
    <col collapsed="false" customWidth="true" hidden="false" outlineLevel="0" max="10" min="10" style="1" width="14"/>
    <col collapsed="false" customWidth="true" hidden="false" outlineLevel="0" max="11" min="11" style="1" width="40"/>
    <col collapsed="false" customWidth="true" hidden="false" outlineLevel="0" max="12" min="12" style="1" width="14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21.7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</row>
    <row r="4" customFormat="false" ht="36" hidden="false" customHeight="true" outlineLevel="0" collapsed="false">
      <c r="A4" s="5" t="n">
        <v>1</v>
      </c>
      <c r="B4" s="6" t="s">
        <v>14</v>
      </c>
      <c r="C4" s="7" t="s">
        <v>15</v>
      </c>
      <c r="D4" s="8" t="s">
        <v>16</v>
      </c>
      <c r="E4" s="9" t="s">
        <v>17</v>
      </c>
      <c r="F4" s="10" t="n">
        <v>341.67</v>
      </c>
      <c r="G4" s="10" t="n">
        <v>4100</v>
      </c>
      <c r="H4" s="5" t="s">
        <v>18</v>
      </c>
      <c r="I4" s="9" t="s">
        <v>19</v>
      </c>
      <c r="J4" s="5" t="s">
        <v>20</v>
      </c>
      <c r="K4" s="9" t="s">
        <v>21</v>
      </c>
      <c r="L4" s="11" t="s">
        <v>22</v>
      </c>
    </row>
    <row r="5" customFormat="false" ht="36" hidden="false" customHeight="true" outlineLevel="0" collapsed="false">
      <c r="A5" s="12" t="n">
        <v>2</v>
      </c>
      <c r="B5" s="13" t="s">
        <v>23</v>
      </c>
      <c r="C5" s="14" t="s">
        <v>24</v>
      </c>
      <c r="D5" s="8" t="s">
        <v>16</v>
      </c>
      <c r="E5" s="15" t="s">
        <v>25</v>
      </c>
      <c r="F5" s="16" t="n">
        <v>33.25</v>
      </c>
      <c r="G5" s="16" t="n">
        <v>399</v>
      </c>
      <c r="H5" s="12" t="s">
        <v>26</v>
      </c>
      <c r="I5" s="15" t="s">
        <v>27</v>
      </c>
      <c r="J5" s="12" t="s">
        <v>20</v>
      </c>
      <c r="K5" s="15" t="s">
        <v>28</v>
      </c>
      <c r="L5" s="17" t="s">
        <v>22</v>
      </c>
    </row>
    <row r="6" customFormat="false" ht="36" hidden="false" customHeight="true" outlineLevel="0" collapsed="false">
      <c r="A6" s="5" t="n">
        <v>3</v>
      </c>
      <c r="B6" s="6" t="s">
        <v>29</v>
      </c>
      <c r="C6" s="7" t="s">
        <v>30</v>
      </c>
      <c r="D6" s="8" t="s">
        <v>16</v>
      </c>
      <c r="E6" s="9" t="s">
        <v>31</v>
      </c>
      <c r="F6" s="10" t="n">
        <v>66.58</v>
      </c>
      <c r="G6" s="10" t="n">
        <v>799</v>
      </c>
      <c r="H6" s="5" t="s">
        <v>32</v>
      </c>
      <c r="I6" s="9" t="s">
        <v>33</v>
      </c>
      <c r="J6" s="5" t="s">
        <v>20</v>
      </c>
      <c r="K6" s="9" t="s">
        <v>34</v>
      </c>
      <c r="L6" s="18" t="s">
        <v>35</v>
      </c>
    </row>
    <row r="7" customFormat="false" ht="36" hidden="false" customHeight="true" outlineLevel="0" collapsed="false">
      <c r="A7" s="12" t="n">
        <v>4</v>
      </c>
      <c r="B7" s="13" t="s">
        <v>36</v>
      </c>
      <c r="C7" s="14" t="s">
        <v>37</v>
      </c>
      <c r="D7" s="19" t="s">
        <v>38</v>
      </c>
      <c r="E7" s="15" t="s">
        <v>39</v>
      </c>
      <c r="F7" s="16" t="n">
        <v>370</v>
      </c>
      <c r="G7" s="16" t="n">
        <v>4440</v>
      </c>
      <c r="H7" s="12" t="s">
        <v>39</v>
      </c>
      <c r="I7" s="15" t="s">
        <v>39</v>
      </c>
      <c r="J7" s="12" t="s">
        <v>40</v>
      </c>
      <c r="K7" s="15" t="s">
        <v>41</v>
      </c>
      <c r="L7" s="20" t="s">
        <v>42</v>
      </c>
    </row>
    <row r="8" customFormat="false" ht="36" hidden="false" customHeight="true" outlineLevel="0" collapsed="false">
      <c r="A8" s="5" t="n">
        <v>5</v>
      </c>
      <c r="B8" s="6" t="s">
        <v>43</v>
      </c>
      <c r="C8" s="7" t="s">
        <v>44</v>
      </c>
      <c r="D8" s="8" t="s">
        <v>16</v>
      </c>
      <c r="E8" s="9" t="s">
        <v>45</v>
      </c>
      <c r="F8" s="10" t="n">
        <v>15</v>
      </c>
      <c r="G8" s="10" t="n">
        <v>180</v>
      </c>
      <c r="H8" s="5" t="s">
        <v>46</v>
      </c>
      <c r="I8" s="9" t="s">
        <v>47</v>
      </c>
      <c r="J8" s="5" t="s">
        <v>20</v>
      </c>
      <c r="K8" s="9" t="s">
        <v>48</v>
      </c>
      <c r="L8" s="18" t="s">
        <v>35</v>
      </c>
    </row>
    <row r="9" customFormat="false" ht="36" hidden="false" customHeight="true" outlineLevel="0" collapsed="false">
      <c r="A9" s="12" t="n">
        <v>6</v>
      </c>
      <c r="B9" s="13" t="s">
        <v>49</v>
      </c>
      <c r="C9" s="14" t="s">
        <v>50</v>
      </c>
      <c r="D9" s="21" t="s">
        <v>16</v>
      </c>
      <c r="E9" s="14" t="s">
        <v>51</v>
      </c>
      <c r="F9" s="22" t="n">
        <v>41.58</v>
      </c>
      <c r="G9" s="22" t="n">
        <v>499</v>
      </c>
      <c r="H9" s="12" t="s">
        <v>46</v>
      </c>
      <c r="I9" s="15" t="s">
        <v>52</v>
      </c>
      <c r="J9" s="12" t="s">
        <v>53</v>
      </c>
      <c r="K9" s="15" t="s">
        <v>54</v>
      </c>
      <c r="L9" s="21" t="s">
        <v>55</v>
      </c>
    </row>
    <row r="10" customFormat="false" ht="36" hidden="false" customHeight="true" outlineLevel="0" collapsed="false">
      <c r="A10" s="5" t="n">
        <v>7</v>
      </c>
      <c r="B10" s="6" t="s">
        <v>56</v>
      </c>
      <c r="C10" s="7" t="s">
        <v>57</v>
      </c>
      <c r="D10" s="8" t="s">
        <v>58</v>
      </c>
      <c r="E10" s="9" t="s">
        <v>59</v>
      </c>
      <c r="F10" s="5" t="s">
        <v>60</v>
      </c>
      <c r="G10" s="5" t="s">
        <v>60</v>
      </c>
      <c r="H10" s="5" t="s">
        <v>61</v>
      </c>
      <c r="I10" s="9" t="s">
        <v>62</v>
      </c>
      <c r="J10" s="5" t="s">
        <v>20</v>
      </c>
      <c r="K10" s="9" t="s">
        <v>63</v>
      </c>
      <c r="L10" s="21" t="s">
        <v>55</v>
      </c>
    </row>
    <row r="11" customFormat="false" ht="36" hidden="false" customHeight="true" outlineLevel="0" collapsed="false">
      <c r="A11" s="12" t="n">
        <v>8</v>
      </c>
      <c r="B11" s="13" t="s">
        <v>64</v>
      </c>
      <c r="C11" s="14" t="s">
        <v>65</v>
      </c>
      <c r="D11" s="8" t="s">
        <v>58</v>
      </c>
      <c r="E11" s="15" t="s">
        <v>66</v>
      </c>
      <c r="F11" s="12" t="s">
        <v>60</v>
      </c>
      <c r="G11" s="12" t="s">
        <v>60</v>
      </c>
      <c r="H11" s="12" t="s">
        <v>61</v>
      </c>
      <c r="I11" s="15" t="s">
        <v>67</v>
      </c>
      <c r="J11" s="12" t="s">
        <v>20</v>
      </c>
      <c r="K11" s="15" t="s">
        <v>68</v>
      </c>
      <c r="L11" s="21" t="s">
        <v>55</v>
      </c>
    </row>
    <row r="12" customFormat="false" ht="36" hidden="false" customHeight="true" outlineLevel="0" collapsed="false">
      <c r="A12" s="5" t="n">
        <v>9</v>
      </c>
      <c r="B12" s="6" t="s">
        <v>69</v>
      </c>
      <c r="C12" s="7" t="s">
        <v>70</v>
      </c>
      <c r="D12" s="21" t="s">
        <v>58</v>
      </c>
      <c r="E12" s="9" t="s">
        <v>66</v>
      </c>
      <c r="F12" s="5" t="s">
        <v>60</v>
      </c>
      <c r="G12" s="5" t="s">
        <v>60</v>
      </c>
      <c r="H12" s="5" t="s">
        <v>71</v>
      </c>
      <c r="I12" s="9" t="s">
        <v>72</v>
      </c>
      <c r="J12" s="5" t="s">
        <v>20</v>
      </c>
      <c r="K12" s="9" t="s">
        <v>73</v>
      </c>
      <c r="L12" s="21" t="s">
        <v>55</v>
      </c>
    </row>
    <row r="13" customFormat="false" ht="36" hidden="false" customHeight="true" outlineLevel="0" collapsed="false">
      <c r="A13" s="12" t="n">
        <v>10</v>
      </c>
      <c r="B13" s="13" t="s">
        <v>74</v>
      </c>
      <c r="C13" s="14" t="s">
        <v>75</v>
      </c>
      <c r="D13" s="8" t="s">
        <v>58</v>
      </c>
      <c r="E13" s="15" t="s">
        <v>76</v>
      </c>
      <c r="F13" s="12" t="s">
        <v>60</v>
      </c>
      <c r="G13" s="12" t="s">
        <v>60</v>
      </c>
      <c r="H13" s="12" t="s">
        <v>61</v>
      </c>
      <c r="I13" s="15" t="s">
        <v>77</v>
      </c>
      <c r="J13" s="12" t="s">
        <v>20</v>
      </c>
      <c r="K13" s="15" t="s">
        <v>78</v>
      </c>
      <c r="L13" s="21" t="s">
        <v>55</v>
      </c>
    </row>
    <row r="14" customFormat="false" ht="36" hidden="false" customHeight="true" outlineLevel="0" collapsed="false">
      <c r="A14" s="5" t="n">
        <v>11</v>
      </c>
      <c r="B14" s="6" t="s">
        <v>79</v>
      </c>
      <c r="C14" s="7" t="s">
        <v>80</v>
      </c>
      <c r="D14" s="8" t="s">
        <v>58</v>
      </c>
      <c r="E14" s="9" t="s">
        <v>81</v>
      </c>
      <c r="F14" s="5" t="s">
        <v>60</v>
      </c>
      <c r="G14" s="5" t="s">
        <v>60</v>
      </c>
      <c r="H14" s="5" t="s">
        <v>61</v>
      </c>
      <c r="I14" s="9" t="s">
        <v>82</v>
      </c>
      <c r="J14" s="5" t="s">
        <v>20</v>
      </c>
      <c r="K14" s="9" t="s">
        <v>83</v>
      </c>
      <c r="L14" s="21" t="s">
        <v>55</v>
      </c>
    </row>
    <row r="15" customFormat="false" ht="36" hidden="false" customHeight="true" outlineLevel="0" collapsed="false">
      <c r="A15" s="12" t="n">
        <v>12</v>
      </c>
      <c r="B15" s="13" t="s">
        <v>84</v>
      </c>
      <c r="C15" s="14" t="s">
        <v>85</v>
      </c>
      <c r="D15" s="8" t="s">
        <v>58</v>
      </c>
      <c r="E15" s="15" t="s">
        <v>86</v>
      </c>
      <c r="F15" s="12" t="s">
        <v>60</v>
      </c>
      <c r="G15" s="12" t="s">
        <v>60</v>
      </c>
      <c r="H15" s="12" t="s">
        <v>61</v>
      </c>
      <c r="I15" s="15" t="s">
        <v>31</v>
      </c>
      <c r="J15" s="12" t="s">
        <v>20</v>
      </c>
      <c r="K15" s="15" t="s">
        <v>87</v>
      </c>
      <c r="L15" s="18" t="s">
        <v>35</v>
      </c>
    </row>
    <row r="16" customFormat="false" ht="36" hidden="false" customHeight="true" outlineLevel="0" collapsed="false">
      <c r="A16" s="5" t="n">
        <v>13</v>
      </c>
      <c r="B16" s="6" t="s">
        <v>88</v>
      </c>
      <c r="C16" s="7" t="s">
        <v>24</v>
      </c>
      <c r="D16" s="8" t="s">
        <v>89</v>
      </c>
      <c r="E16" s="9" t="s">
        <v>90</v>
      </c>
      <c r="F16" s="5" t="s">
        <v>60</v>
      </c>
      <c r="G16" s="5" t="s">
        <v>60</v>
      </c>
      <c r="H16" s="5" t="s">
        <v>61</v>
      </c>
      <c r="I16" s="9" t="s">
        <v>27</v>
      </c>
      <c r="J16" s="5" t="s">
        <v>20</v>
      </c>
      <c r="K16" s="9" t="s">
        <v>91</v>
      </c>
      <c r="L16" s="11" t="s">
        <v>22</v>
      </c>
    </row>
    <row r="17" customFormat="false" ht="36" hidden="false" customHeight="true" outlineLevel="0" collapsed="false">
      <c r="A17" s="12" t="n">
        <v>14</v>
      </c>
      <c r="B17" s="13" t="s">
        <v>92</v>
      </c>
      <c r="C17" s="14" t="s">
        <v>93</v>
      </c>
      <c r="D17" s="21" t="s">
        <v>94</v>
      </c>
      <c r="E17" s="15" t="s">
        <v>95</v>
      </c>
      <c r="F17" s="22" t="n">
        <v>31.5</v>
      </c>
      <c r="G17" s="22" t="n">
        <v>378</v>
      </c>
      <c r="H17" s="12" t="s">
        <v>96</v>
      </c>
      <c r="I17" s="14" t="s">
        <v>97</v>
      </c>
      <c r="J17" s="12" t="s">
        <v>98</v>
      </c>
      <c r="K17" s="23" t="s">
        <v>99</v>
      </c>
      <c r="L17" s="21" t="s">
        <v>55</v>
      </c>
    </row>
    <row r="18" customFormat="false" ht="36" hidden="false" customHeight="true" outlineLevel="0" collapsed="false">
      <c r="A18" s="5" t="n">
        <v>15</v>
      </c>
      <c r="B18" s="6" t="s">
        <v>100</v>
      </c>
      <c r="C18" s="7" t="s">
        <v>101</v>
      </c>
      <c r="D18" s="24" t="s">
        <v>102</v>
      </c>
      <c r="E18" s="9" t="s">
        <v>103</v>
      </c>
      <c r="F18" s="5" t="s">
        <v>104</v>
      </c>
      <c r="G18" s="5" t="s">
        <v>104</v>
      </c>
      <c r="H18" s="5" t="s">
        <v>105</v>
      </c>
      <c r="I18" s="9" t="s">
        <v>106</v>
      </c>
      <c r="J18" s="5" t="s">
        <v>107</v>
      </c>
      <c r="K18" s="9" t="s">
        <v>108</v>
      </c>
      <c r="L18" s="18" t="s">
        <v>35</v>
      </c>
    </row>
    <row r="19" customFormat="false" ht="36" hidden="false" customHeight="true" outlineLevel="0" collapsed="false">
      <c r="A19" s="12" t="n">
        <v>16</v>
      </c>
      <c r="B19" s="13" t="s">
        <v>109</v>
      </c>
      <c r="C19" s="14" t="s">
        <v>110</v>
      </c>
      <c r="D19" s="8" t="s">
        <v>16</v>
      </c>
      <c r="E19" s="15" t="s">
        <v>111</v>
      </c>
      <c r="F19" s="16" t="n">
        <v>115</v>
      </c>
      <c r="G19" s="16" t="n">
        <v>1380</v>
      </c>
      <c r="H19" s="12" t="s">
        <v>112</v>
      </c>
      <c r="I19" s="15" t="s">
        <v>39</v>
      </c>
      <c r="J19" s="12" t="s">
        <v>107</v>
      </c>
      <c r="K19" s="15" t="s">
        <v>113</v>
      </c>
      <c r="L19" s="17" t="s">
        <v>22</v>
      </c>
    </row>
    <row r="20" customFormat="false" ht="36" hidden="false" customHeight="true" outlineLevel="0" collapsed="false">
      <c r="A20" s="5" t="n">
        <v>17</v>
      </c>
      <c r="B20" s="6" t="s">
        <v>114</v>
      </c>
      <c r="C20" s="7" t="s">
        <v>115</v>
      </c>
      <c r="D20" s="8" t="s">
        <v>16</v>
      </c>
      <c r="E20" s="9" t="s">
        <v>111</v>
      </c>
      <c r="F20" s="10" t="n">
        <v>74.63</v>
      </c>
      <c r="G20" s="10" t="n">
        <v>895.56</v>
      </c>
      <c r="H20" s="5" t="s">
        <v>112</v>
      </c>
      <c r="I20" s="9" t="s">
        <v>39</v>
      </c>
      <c r="J20" s="5" t="s">
        <v>107</v>
      </c>
      <c r="K20" s="9" t="s">
        <v>113</v>
      </c>
      <c r="L20" s="11" t="s">
        <v>22</v>
      </c>
    </row>
    <row r="21" customFormat="false" ht="36" hidden="false" customHeight="true" outlineLevel="0" collapsed="false">
      <c r="A21" s="12" t="n">
        <v>18</v>
      </c>
      <c r="B21" s="13" t="s">
        <v>116</v>
      </c>
      <c r="C21" s="14" t="s">
        <v>117</v>
      </c>
      <c r="D21" s="8" t="s">
        <v>16</v>
      </c>
      <c r="E21" s="15" t="s">
        <v>118</v>
      </c>
      <c r="F21" s="16" t="n">
        <v>31.75</v>
      </c>
      <c r="G21" s="16" t="n">
        <v>381</v>
      </c>
      <c r="H21" s="12" t="s">
        <v>119</v>
      </c>
      <c r="I21" s="15" t="s">
        <v>39</v>
      </c>
      <c r="J21" s="12" t="s">
        <v>107</v>
      </c>
      <c r="K21" s="15" t="s">
        <v>120</v>
      </c>
      <c r="L21" s="17" t="s">
        <v>22</v>
      </c>
    </row>
    <row r="22" customFormat="false" ht="36" hidden="false" customHeight="true" outlineLevel="0" collapsed="false">
      <c r="A22" s="5" t="n">
        <v>19</v>
      </c>
      <c r="B22" s="6" t="s">
        <v>121</v>
      </c>
      <c r="C22" s="7" t="s">
        <v>122</v>
      </c>
      <c r="D22" s="8" t="s">
        <v>16</v>
      </c>
      <c r="E22" s="9" t="s">
        <v>111</v>
      </c>
      <c r="F22" s="10" t="n">
        <v>126</v>
      </c>
      <c r="G22" s="10" t="n">
        <v>1512</v>
      </c>
      <c r="H22" s="5" t="s">
        <v>112</v>
      </c>
      <c r="I22" s="9" t="s">
        <v>39</v>
      </c>
      <c r="J22" s="5" t="s">
        <v>107</v>
      </c>
      <c r="K22" s="9" t="s">
        <v>123</v>
      </c>
      <c r="L22" s="11" t="s">
        <v>22</v>
      </c>
    </row>
    <row r="23" customFormat="false" ht="36" hidden="false" customHeight="true" outlineLevel="0" collapsed="false">
      <c r="A23" s="12" t="n">
        <v>20</v>
      </c>
      <c r="B23" s="13" t="s">
        <v>124</v>
      </c>
      <c r="C23" s="14" t="s">
        <v>122</v>
      </c>
      <c r="D23" s="8" t="s">
        <v>16</v>
      </c>
      <c r="E23" s="15" t="s">
        <v>111</v>
      </c>
      <c r="F23" s="12" t="s">
        <v>104</v>
      </c>
      <c r="G23" s="12" t="s">
        <v>104</v>
      </c>
      <c r="H23" s="12" t="s">
        <v>112</v>
      </c>
      <c r="I23" s="15" t="s">
        <v>39</v>
      </c>
      <c r="J23" s="12" t="s">
        <v>107</v>
      </c>
      <c r="K23" s="15" t="s">
        <v>125</v>
      </c>
      <c r="L23" s="17" t="s">
        <v>22</v>
      </c>
    </row>
    <row r="24" customFormat="false" ht="36" hidden="false" customHeight="true" outlineLevel="0" collapsed="false">
      <c r="A24" s="5" t="n">
        <v>21</v>
      </c>
      <c r="B24" s="6" t="s">
        <v>126</v>
      </c>
      <c r="C24" s="7" t="s">
        <v>127</v>
      </c>
      <c r="D24" s="25" t="s">
        <v>38</v>
      </c>
      <c r="E24" s="9" t="s">
        <v>111</v>
      </c>
      <c r="F24" s="10" t="n">
        <v>26.98</v>
      </c>
      <c r="G24" s="10" t="n">
        <v>323.76</v>
      </c>
      <c r="H24" s="5" t="s">
        <v>112</v>
      </c>
      <c r="I24" s="9" t="s">
        <v>39</v>
      </c>
      <c r="J24" s="5" t="s">
        <v>107</v>
      </c>
      <c r="K24" s="26" t="s">
        <v>128</v>
      </c>
      <c r="L24" s="25" t="s">
        <v>42</v>
      </c>
    </row>
    <row r="25" customFormat="false" ht="36" hidden="false" customHeight="true" outlineLevel="0" collapsed="false">
      <c r="A25" s="12" t="n">
        <v>22</v>
      </c>
      <c r="B25" s="13" t="s">
        <v>129</v>
      </c>
      <c r="C25" s="14" t="s">
        <v>127</v>
      </c>
      <c r="D25" s="21" t="s">
        <v>16</v>
      </c>
      <c r="E25" s="15" t="s">
        <v>111</v>
      </c>
      <c r="F25" s="16" t="n">
        <v>1892</v>
      </c>
      <c r="G25" s="16" t="n">
        <v>22704</v>
      </c>
      <c r="H25" s="12" t="s">
        <v>112</v>
      </c>
      <c r="I25" s="15" t="s">
        <v>39</v>
      </c>
      <c r="J25" s="12" t="s">
        <v>107</v>
      </c>
      <c r="K25" s="15" t="s">
        <v>130</v>
      </c>
      <c r="L25" s="18" t="s">
        <v>22</v>
      </c>
    </row>
    <row r="26" customFormat="false" ht="36" hidden="false" customHeight="true" outlineLevel="0" collapsed="false">
      <c r="A26" s="5" t="n">
        <v>23</v>
      </c>
      <c r="B26" s="6" t="s">
        <v>131</v>
      </c>
      <c r="C26" s="7" t="s">
        <v>132</v>
      </c>
      <c r="D26" s="8" t="s">
        <v>16</v>
      </c>
      <c r="E26" s="9" t="s">
        <v>111</v>
      </c>
      <c r="F26" s="10" t="n">
        <v>599</v>
      </c>
      <c r="G26" s="10" t="n">
        <v>7188</v>
      </c>
      <c r="H26" s="5" t="s">
        <v>112</v>
      </c>
      <c r="I26" s="9" t="s">
        <v>39</v>
      </c>
      <c r="J26" s="5" t="s">
        <v>107</v>
      </c>
      <c r="K26" s="9" t="s">
        <v>133</v>
      </c>
      <c r="L26" s="11" t="s">
        <v>22</v>
      </c>
    </row>
    <row r="27" customFormat="false" ht="36" hidden="false" customHeight="true" outlineLevel="0" collapsed="false">
      <c r="A27" s="12" t="n">
        <v>24</v>
      </c>
      <c r="B27" s="13" t="s">
        <v>134</v>
      </c>
      <c r="C27" s="14" t="s">
        <v>132</v>
      </c>
      <c r="D27" s="8" t="s">
        <v>16</v>
      </c>
      <c r="E27" s="15" t="s">
        <v>135</v>
      </c>
      <c r="F27" s="16" t="n">
        <v>40</v>
      </c>
      <c r="G27" s="16" t="n">
        <v>480</v>
      </c>
      <c r="H27" s="12" t="s">
        <v>112</v>
      </c>
      <c r="I27" s="15" t="s">
        <v>39</v>
      </c>
      <c r="J27" s="12" t="s">
        <v>107</v>
      </c>
      <c r="K27" s="15" t="s">
        <v>136</v>
      </c>
      <c r="L27" s="17" t="s">
        <v>22</v>
      </c>
    </row>
    <row r="28" customFormat="false" ht="36" hidden="false" customHeight="true" outlineLevel="0" collapsed="false">
      <c r="A28" s="5" t="n">
        <v>25</v>
      </c>
      <c r="B28" s="6" t="s">
        <v>137</v>
      </c>
      <c r="C28" s="7" t="s">
        <v>138</v>
      </c>
      <c r="D28" s="8" t="s">
        <v>16</v>
      </c>
      <c r="E28" s="9" t="s">
        <v>139</v>
      </c>
      <c r="F28" s="10" t="n">
        <v>7.99</v>
      </c>
      <c r="G28" s="10" t="n">
        <v>95.88</v>
      </c>
      <c r="H28" s="5" t="s">
        <v>140</v>
      </c>
      <c r="I28" s="9" t="s">
        <v>39</v>
      </c>
      <c r="J28" s="5" t="s">
        <v>107</v>
      </c>
      <c r="K28" s="9" t="s">
        <v>141</v>
      </c>
      <c r="L28" s="11" t="s">
        <v>22</v>
      </c>
    </row>
    <row r="29" customFormat="false" ht="36" hidden="false" customHeight="true" outlineLevel="0" collapsed="false">
      <c r="A29" s="12" t="n">
        <v>26</v>
      </c>
      <c r="B29" s="13" t="s">
        <v>142</v>
      </c>
      <c r="C29" s="14" t="s">
        <v>143</v>
      </c>
      <c r="D29" s="8" t="s">
        <v>16</v>
      </c>
      <c r="E29" s="15" t="s">
        <v>139</v>
      </c>
      <c r="F29" s="16" t="n">
        <v>90</v>
      </c>
      <c r="G29" s="16" t="n">
        <v>1080</v>
      </c>
      <c r="H29" s="12" t="s">
        <v>144</v>
      </c>
      <c r="I29" s="15" t="s">
        <v>39</v>
      </c>
      <c r="J29" s="12" t="s">
        <v>107</v>
      </c>
      <c r="K29" s="15" t="s">
        <v>145</v>
      </c>
      <c r="L29" s="17" t="s">
        <v>22</v>
      </c>
    </row>
    <row r="30" customFormat="false" ht="36" hidden="false" customHeight="true" outlineLevel="0" collapsed="false">
      <c r="A30" s="5" t="n">
        <v>27</v>
      </c>
      <c r="B30" s="6" t="s">
        <v>146</v>
      </c>
      <c r="C30" s="7" t="s">
        <v>138</v>
      </c>
      <c r="D30" s="8" t="s">
        <v>16</v>
      </c>
      <c r="E30" s="9" t="s">
        <v>139</v>
      </c>
      <c r="F30" s="10" t="n">
        <v>9.33</v>
      </c>
      <c r="G30" s="10" t="n">
        <v>111.95</v>
      </c>
      <c r="H30" s="5" t="s">
        <v>147</v>
      </c>
      <c r="I30" s="9" t="s">
        <v>39</v>
      </c>
      <c r="J30" s="5" t="s">
        <v>107</v>
      </c>
      <c r="K30" s="9" t="s">
        <v>148</v>
      </c>
      <c r="L30" s="11" t="s">
        <v>22</v>
      </c>
    </row>
    <row r="31" customFormat="false" ht="36" hidden="false" customHeight="true" outlineLevel="0" collapsed="false">
      <c r="A31" s="12" t="n">
        <v>28</v>
      </c>
      <c r="B31" s="13" t="s">
        <v>149</v>
      </c>
      <c r="C31" s="14" t="s">
        <v>150</v>
      </c>
      <c r="D31" s="25" t="s">
        <v>38</v>
      </c>
      <c r="E31" s="26" t="s">
        <v>151</v>
      </c>
      <c r="F31" s="27" t="n">
        <v>99</v>
      </c>
      <c r="G31" s="27" t="n">
        <v>1188</v>
      </c>
      <c r="H31" s="28" t="s">
        <v>152</v>
      </c>
      <c r="I31" s="28" t="s">
        <v>153</v>
      </c>
      <c r="J31" s="28" t="s">
        <v>98</v>
      </c>
      <c r="K31" s="26" t="s">
        <v>154</v>
      </c>
      <c r="L31" s="29" t="s">
        <v>155</v>
      </c>
    </row>
    <row r="32" customFormat="false" ht="36" hidden="false" customHeight="true" outlineLevel="0" collapsed="false">
      <c r="A32" s="5" t="n">
        <v>29</v>
      </c>
      <c r="B32" s="6" t="s">
        <v>156</v>
      </c>
      <c r="C32" s="7" t="s">
        <v>157</v>
      </c>
      <c r="D32" s="8" t="s">
        <v>16</v>
      </c>
      <c r="E32" s="9" t="s">
        <v>158</v>
      </c>
      <c r="F32" s="5" t="s">
        <v>104</v>
      </c>
      <c r="G32" s="5" t="s">
        <v>104</v>
      </c>
      <c r="H32" s="5" t="s">
        <v>159</v>
      </c>
      <c r="I32" s="9" t="s">
        <v>160</v>
      </c>
      <c r="J32" s="5" t="s">
        <v>161</v>
      </c>
      <c r="K32" s="9" t="s">
        <v>162</v>
      </c>
      <c r="L32" s="18" t="s">
        <v>35</v>
      </c>
    </row>
    <row r="33" customFormat="false" ht="36" hidden="false" customHeight="true" outlineLevel="0" collapsed="false">
      <c r="A33" s="12" t="n">
        <v>30</v>
      </c>
      <c r="B33" s="13" t="s">
        <v>163</v>
      </c>
      <c r="C33" s="14" t="s">
        <v>115</v>
      </c>
      <c r="D33" s="8" t="s">
        <v>16</v>
      </c>
      <c r="E33" s="15" t="s">
        <v>164</v>
      </c>
      <c r="F33" s="16" t="n">
        <v>10</v>
      </c>
      <c r="G33" s="16" t="n">
        <v>120</v>
      </c>
      <c r="H33" s="12" t="s">
        <v>112</v>
      </c>
      <c r="I33" s="15" t="s">
        <v>39</v>
      </c>
      <c r="J33" s="12" t="s">
        <v>161</v>
      </c>
      <c r="K33" s="15" t="s">
        <v>165</v>
      </c>
      <c r="L33" s="18" t="s">
        <v>35</v>
      </c>
    </row>
    <row r="34" customFormat="false" ht="36" hidden="false" customHeight="true" outlineLevel="0" collapsed="false">
      <c r="A34" s="5" t="n">
        <v>31</v>
      </c>
      <c r="B34" s="6" t="s">
        <v>166</v>
      </c>
      <c r="C34" s="7" t="s">
        <v>167</v>
      </c>
      <c r="D34" s="24" t="s">
        <v>102</v>
      </c>
      <c r="E34" s="9" t="s">
        <v>168</v>
      </c>
      <c r="F34" s="10" t="n">
        <v>9.99</v>
      </c>
      <c r="G34" s="10" t="n">
        <v>119.88</v>
      </c>
      <c r="H34" s="5" t="s">
        <v>39</v>
      </c>
      <c r="I34" s="9" t="s">
        <v>39</v>
      </c>
      <c r="J34" s="5" t="s">
        <v>107</v>
      </c>
      <c r="K34" s="9" t="s">
        <v>169</v>
      </c>
      <c r="L34" s="20" t="s">
        <v>42</v>
      </c>
    </row>
    <row r="35" customFormat="false" ht="36" hidden="false" customHeight="true" outlineLevel="0" collapsed="false">
      <c r="A35" s="12" t="n">
        <v>32</v>
      </c>
      <c r="B35" s="13" t="s">
        <v>170</v>
      </c>
      <c r="C35" s="14" t="s">
        <v>171</v>
      </c>
      <c r="D35" s="8" t="s">
        <v>16</v>
      </c>
      <c r="E35" s="15" t="s">
        <v>172</v>
      </c>
      <c r="F35" s="12" t="s">
        <v>104</v>
      </c>
      <c r="G35" s="12" t="s">
        <v>104</v>
      </c>
      <c r="H35" s="12" t="s">
        <v>173</v>
      </c>
      <c r="I35" s="15" t="s">
        <v>174</v>
      </c>
      <c r="J35" s="12" t="s">
        <v>161</v>
      </c>
      <c r="K35" s="15" t="s">
        <v>175</v>
      </c>
      <c r="L35" s="18" t="s">
        <v>35</v>
      </c>
    </row>
    <row r="36" customFormat="false" ht="36" hidden="false" customHeight="true" outlineLevel="0" collapsed="false">
      <c r="A36" s="5" t="n">
        <v>33</v>
      </c>
      <c r="B36" s="6" t="s">
        <v>176</v>
      </c>
      <c r="C36" s="7" t="s">
        <v>50</v>
      </c>
      <c r="D36" s="24" t="s">
        <v>102</v>
      </c>
      <c r="E36" s="9" t="s">
        <v>177</v>
      </c>
      <c r="F36" s="5" t="s">
        <v>60</v>
      </c>
      <c r="G36" s="5" t="s">
        <v>60</v>
      </c>
      <c r="H36" s="5" t="s">
        <v>46</v>
      </c>
      <c r="I36" s="9" t="s">
        <v>178</v>
      </c>
      <c r="J36" s="5" t="s">
        <v>107</v>
      </c>
      <c r="K36" s="9" t="s">
        <v>179</v>
      </c>
      <c r="L36" s="21" t="s">
        <v>55</v>
      </c>
    </row>
    <row r="37" customFormat="false" ht="7.5" hidden="false" customHeight="true" outlineLevel="0" collapsed="false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</row>
    <row r="38" customFormat="false" ht="21.75" hidden="false" customHeight="true" outlineLevel="0" collapsed="false">
      <c r="A38" s="31" t="s">
        <v>180</v>
      </c>
      <c r="B38" s="31"/>
      <c r="C38" s="31"/>
      <c r="D38" s="31"/>
      <c r="E38" s="31"/>
      <c r="F38" s="32" t="n">
        <f aca="false">SUM(F4:F36)</f>
        <v>4031.25</v>
      </c>
      <c r="G38" s="32" t="n">
        <f aca="false">SUM(G4:G36)</f>
        <v>48375.03</v>
      </c>
      <c r="H38" s="33"/>
      <c r="I38" s="33"/>
      <c r="J38" s="33"/>
      <c r="K38" s="33"/>
      <c r="L38" s="33"/>
    </row>
    <row r="39" customFormat="false" ht="19.5" hidden="false" customHeight="true" outlineLevel="0" collapsed="false">
      <c r="A39" s="34" t="s">
        <v>181</v>
      </c>
      <c r="B39" s="34"/>
      <c r="C39" s="34"/>
      <c r="D39" s="34"/>
      <c r="E39" s="34"/>
      <c r="F39" s="35" t="n">
        <v>-370</v>
      </c>
      <c r="G39" s="35" t="n">
        <v>-4440</v>
      </c>
    </row>
  </sheetData>
  <mergeCells count="5">
    <mergeCell ref="A1:L1"/>
    <mergeCell ref="A2:L2"/>
    <mergeCell ref="A37:L37"/>
    <mergeCell ref="A38:E38"/>
    <mergeCell ref="A39:E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4" min="4" style="1" width="55"/>
    <col collapsed="false" customWidth="true" hidden="false" outlineLevel="0" max="6" min="5" style="1" width="15"/>
  </cols>
  <sheetData>
    <row r="1" customFormat="false" ht="27.75" hidden="false" customHeight="true" outlineLevel="0" collapsed="false">
      <c r="A1" s="2" t="s">
        <v>182</v>
      </c>
      <c r="B1" s="2"/>
      <c r="C1" s="2"/>
      <c r="D1" s="2"/>
      <c r="E1" s="2"/>
      <c r="F1" s="2"/>
    </row>
    <row r="2" customFormat="false" ht="19.5" hidden="false" customHeight="true" outlineLevel="0" collapsed="false">
      <c r="A2" s="36" t="s">
        <v>183</v>
      </c>
      <c r="B2" s="36" t="s">
        <v>3</v>
      </c>
      <c r="C2" s="36" t="s">
        <v>184</v>
      </c>
      <c r="D2" s="36" t="s">
        <v>185</v>
      </c>
      <c r="E2" s="36" t="s">
        <v>186</v>
      </c>
      <c r="F2" s="36" t="s">
        <v>187</v>
      </c>
    </row>
    <row r="3" customFormat="false" ht="39.75" hidden="false" customHeight="true" outlineLevel="0" collapsed="false">
      <c r="A3" s="19" t="s">
        <v>188</v>
      </c>
      <c r="B3" s="37" t="s">
        <v>36</v>
      </c>
      <c r="C3" s="19" t="s">
        <v>155</v>
      </c>
      <c r="D3" s="38" t="s">
        <v>189</v>
      </c>
      <c r="E3" s="39" t="s">
        <v>190</v>
      </c>
      <c r="F3" s="39" t="s">
        <v>161</v>
      </c>
    </row>
    <row r="4" customFormat="false" ht="39.75" hidden="false" customHeight="true" outlineLevel="0" collapsed="false">
      <c r="A4" s="21" t="s">
        <v>191</v>
      </c>
      <c r="B4" s="40" t="s">
        <v>49</v>
      </c>
      <c r="C4" s="21" t="s">
        <v>192</v>
      </c>
      <c r="D4" s="41" t="s">
        <v>193</v>
      </c>
      <c r="E4" s="42" t="s">
        <v>194</v>
      </c>
      <c r="F4" s="43" t="s">
        <v>161</v>
      </c>
    </row>
    <row r="5" customFormat="false" ht="39.75" hidden="false" customHeight="true" outlineLevel="0" collapsed="false">
      <c r="A5" s="21" t="s">
        <v>191</v>
      </c>
      <c r="B5" s="40" t="s">
        <v>69</v>
      </c>
      <c r="C5" s="21" t="s">
        <v>192</v>
      </c>
      <c r="D5" s="41" t="s">
        <v>193</v>
      </c>
      <c r="E5" s="42" t="s">
        <v>194</v>
      </c>
      <c r="F5" s="43" t="s">
        <v>161</v>
      </c>
    </row>
    <row r="6" customFormat="false" ht="39.75" hidden="false" customHeight="true" outlineLevel="0" collapsed="false">
      <c r="A6" s="20" t="s">
        <v>195</v>
      </c>
      <c r="B6" s="44" t="s">
        <v>92</v>
      </c>
      <c r="C6" s="20" t="s">
        <v>196</v>
      </c>
      <c r="D6" s="45" t="s">
        <v>197</v>
      </c>
      <c r="E6" s="20" t="s">
        <v>198</v>
      </c>
      <c r="F6" s="46" t="s">
        <v>161</v>
      </c>
    </row>
    <row r="7" customFormat="false" ht="39.75" hidden="false" customHeight="true" outlineLevel="0" collapsed="false">
      <c r="A7" s="47" t="s">
        <v>195</v>
      </c>
      <c r="B7" s="44" t="s">
        <v>129</v>
      </c>
      <c r="C7" s="47" t="s">
        <v>199</v>
      </c>
      <c r="D7" s="48" t="s">
        <v>200</v>
      </c>
      <c r="E7" s="46" t="s">
        <v>201</v>
      </c>
      <c r="F7" s="46" t="s">
        <v>161</v>
      </c>
    </row>
    <row r="8" customFormat="false" ht="39.75" hidden="false" customHeight="true" outlineLevel="0" collapsed="false">
      <c r="A8" s="47" t="s">
        <v>195</v>
      </c>
      <c r="B8" s="44" t="s">
        <v>131</v>
      </c>
      <c r="C8" s="47" t="s">
        <v>202</v>
      </c>
      <c r="D8" s="48" t="s">
        <v>203</v>
      </c>
      <c r="E8" s="46" t="s">
        <v>204</v>
      </c>
      <c r="F8" s="46" t="s">
        <v>161</v>
      </c>
    </row>
    <row r="9" customFormat="false" ht="39.75" hidden="false" customHeight="true" outlineLevel="0" collapsed="false">
      <c r="A9" s="47" t="s">
        <v>195</v>
      </c>
      <c r="B9" s="44" t="s">
        <v>142</v>
      </c>
      <c r="C9" s="47" t="s">
        <v>205</v>
      </c>
      <c r="D9" s="48" t="s">
        <v>206</v>
      </c>
      <c r="E9" s="46" t="s">
        <v>207</v>
      </c>
      <c r="F9" s="46" t="s">
        <v>161</v>
      </c>
    </row>
    <row r="10" customFormat="false" ht="39.75" hidden="false" customHeight="true" outlineLevel="0" collapsed="false">
      <c r="A10" s="47" t="s">
        <v>195</v>
      </c>
      <c r="B10" s="44" t="s">
        <v>134</v>
      </c>
      <c r="C10" s="47" t="s">
        <v>205</v>
      </c>
      <c r="D10" s="48" t="s">
        <v>208</v>
      </c>
      <c r="E10" s="46" t="s">
        <v>209</v>
      </c>
      <c r="F10" s="46" t="s">
        <v>161</v>
      </c>
    </row>
    <row r="11" customFormat="false" ht="39.75" hidden="false" customHeight="true" outlineLevel="0" collapsed="false">
      <c r="A11" s="25" t="s">
        <v>188</v>
      </c>
      <c r="B11" s="44" t="s">
        <v>149</v>
      </c>
      <c r="C11" s="25" t="s">
        <v>210</v>
      </c>
      <c r="D11" s="26" t="s">
        <v>211</v>
      </c>
      <c r="E11" s="25" t="s">
        <v>212</v>
      </c>
      <c r="F11" s="46" t="s">
        <v>161</v>
      </c>
    </row>
    <row r="12" customFormat="false" ht="39.75" hidden="false" customHeight="true" outlineLevel="0" collapsed="false">
      <c r="A12" s="47" t="s">
        <v>195</v>
      </c>
      <c r="B12" s="44" t="s">
        <v>166</v>
      </c>
      <c r="C12" s="47" t="s">
        <v>155</v>
      </c>
      <c r="D12" s="48" t="s">
        <v>213</v>
      </c>
      <c r="E12" s="46" t="s">
        <v>214</v>
      </c>
      <c r="F12" s="46" t="s">
        <v>161</v>
      </c>
    </row>
    <row r="13" customFormat="false" ht="39.75" hidden="false" customHeight="true" outlineLevel="0" collapsed="false">
      <c r="A13" s="47" t="s">
        <v>195</v>
      </c>
      <c r="B13" s="44" t="s">
        <v>100</v>
      </c>
      <c r="C13" s="47" t="s">
        <v>215</v>
      </c>
      <c r="D13" s="48" t="s">
        <v>216</v>
      </c>
      <c r="E13" s="46" t="s">
        <v>217</v>
      </c>
      <c r="F13" s="46" t="s">
        <v>161</v>
      </c>
    </row>
    <row r="14" customFormat="false" ht="39.75" hidden="false" customHeight="true" outlineLevel="0" collapsed="false">
      <c r="A14" s="8" t="s">
        <v>191</v>
      </c>
      <c r="B14" s="40" t="s">
        <v>56</v>
      </c>
      <c r="C14" s="8" t="s">
        <v>218</v>
      </c>
      <c r="D14" s="49" t="s">
        <v>219</v>
      </c>
      <c r="E14" s="43" t="s">
        <v>220</v>
      </c>
      <c r="F14" s="43" t="s">
        <v>221</v>
      </c>
    </row>
    <row r="15" customFormat="false" ht="39.75" hidden="false" customHeight="true" outlineLevel="0" collapsed="false">
      <c r="A15" s="8" t="s">
        <v>191</v>
      </c>
      <c r="B15" s="40" t="s">
        <v>176</v>
      </c>
      <c r="C15" s="8" t="s">
        <v>218</v>
      </c>
      <c r="D15" s="49" t="s">
        <v>222</v>
      </c>
      <c r="E15" s="43" t="s">
        <v>194</v>
      </c>
      <c r="F15" s="43" t="s">
        <v>221</v>
      </c>
    </row>
    <row r="16" customFormat="false" ht="39.75" hidden="false" customHeight="true" outlineLevel="0" collapsed="false">
      <c r="A16" s="8" t="s">
        <v>191</v>
      </c>
      <c r="B16" s="40" t="s">
        <v>223</v>
      </c>
      <c r="C16" s="8" t="s">
        <v>224</v>
      </c>
      <c r="D16" s="49" t="s">
        <v>225</v>
      </c>
      <c r="E16" s="43" t="s">
        <v>226</v>
      </c>
      <c r="F16" s="43" t="s">
        <v>221</v>
      </c>
    </row>
    <row r="17" customFormat="false" ht="39.75" hidden="false" customHeight="true" outlineLevel="0" collapsed="false">
      <c r="A17" s="8" t="s">
        <v>191</v>
      </c>
      <c r="B17" s="40" t="s">
        <v>88</v>
      </c>
      <c r="C17" s="8" t="s">
        <v>227</v>
      </c>
      <c r="D17" s="49" t="s">
        <v>228</v>
      </c>
      <c r="E17" s="43" t="s">
        <v>229</v>
      </c>
      <c r="F17" s="43" t="s">
        <v>161</v>
      </c>
    </row>
    <row r="18" customFormat="false" ht="39.75" hidden="false" customHeight="true" outlineLevel="0" collapsed="false">
      <c r="A18" s="8" t="s">
        <v>191</v>
      </c>
      <c r="B18" s="40" t="s">
        <v>230</v>
      </c>
      <c r="C18" s="8" t="s">
        <v>231</v>
      </c>
      <c r="D18" s="49" t="s">
        <v>232</v>
      </c>
      <c r="E18" s="43" t="s">
        <v>194</v>
      </c>
      <c r="F18" s="43" t="s">
        <v>161</v>
      </c>
    </row>
    <row r="19" customFormat="false" ht="39.75" hidden="false" customHeight="true" outlineLevel="0" collapsed="false">
      <c r="A19" s="19" t="s">
        <v>188</v>
      </c>
      <c r="B19" s="37" t="s">
        <v>126</v>
      </c>
      <c r="C19" s="19" t="s">
        <v>155</v>
      </c>
      <c r="D19" s="38" t="s">
        <v>233</v>
      </c>
      <c r="E19" s="39" t="s">
        <v>234</v>
      </c>
      <c r="F19" s="39" t="s">
        <v>161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2026-02-22T20:00:34Z</dcterms:created>
  <dc:creator>openpyxl</dc:creator>
  <dc:description/>
  <dc:language>en-US</dc:language>
  <cp:lastModifiedBy/>
  <dcterms:modified xsi:type="dcterms:W3CDTF">2026-02-22T20:20:02Z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